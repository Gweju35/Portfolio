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\Bureau\BUT\SAE_205\"/>
    </mc:Choice>
  </mc:AlternateContent>
  <xr:revisionPtr revIDLastSave="0" documentId="13_ncr:1_{EBC4C4E0-19D5-4FDD-BB76-B8F138050543}" xr6:coauthVersionLast="47" xr6:coauthVersionMax="47" xr10:uidLastSave="{00000000-0000-0000-0000-000000000000}"/>
  <bookViews>
    <workbookView xWindow="-110" yWindow="-110" windowWidth="19420" windowHeight="10300" xr2:uid="{820F298E-7919-AE4B-903E-F1736FCABFC6}"/>
  </bookViews>
  <sheets>
    <sheet name="Charg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3" l="1"/>
  <c r="J15" i="3" s="1"/>
  <c r="I6" i="3"/>
  <c r="I7" i="3"/>
  <c r="J7" i="3" s="1"/>
  <c r="I9" i="3"/>
  <c r="J9" i="3" s="1"/>
  <c r="I10" i="3"/>
  <c r="J10" i="3" s="1"/>
  <c r="I11" i="3"/>
  <c r="J11" i="3" s="1"/>
  <c r="I12" i="3"/>
  <c r="J12" i="3" s="1"/>
  <c r="I13" i="3"/>
  <c r="J13" i="3" s="1"/>
  <c r="I16" i="3"/>
  <c r="J16" i="3" s="1"/>
  <c r="I18" i="3"/>
  <c r="J18" i="3" s="1"/>
  <c r="I19" i="3"/>
  <c r="J19" i="3" s="1"/>
  <c r="I20" i="3"/>
  <c r="J20" i="3" s="1"/>
  <c r="I22" i="3"/>
  <c r="J22" i="3" s="1"/>
  <c r="I23" i="3"/>
  <c r="J23" i="3" s="1"/>
  <c r="I24" i="3"/>
  <c r="J24" i="3" s="1"/>
  <c r="I26" i="3"/>
  <c r="J26" i="3" s="1"/>
  <c r="I27" i="3"/>
  <c r="J27" i="3" s="1"/>
  <c r="I28" i="3"/>
  <c r="J28" i="3" s="1"/>
  <c r="I29" i="3"/>
  <c r="J29" i="3" s="1"/>
</calcChain>
</file>

<file path=xl/sharedStrings.xml><?xml version="1.0" encoding="utf-8"?>
<sst xmlns="http://schemas.openxmlformats.org/spreadsheetml/2006/main" count="37" uniqueCount="37">
  <si>
    <t>Lot</t>
  </si>
  <si>
    <t>Sous-Lot</t>
  </si>
  <si>
    <t>A</t>
  </si>
  <si>
    <t>Sous-Lot2</t>
  </si>
  <si>
    <t>Sous-Lot3</t>
  </si>
  <si>
    <t>6.2 Conception</t>
  </si>
  <si>
    <t xml:space="preserve">6.3 Développement </t>
  </si>
  <si>
    <t>6.4 Tests</t>
  </si>
  <si>
    <t>6.1 Analyse</t>
  </si>
  <si>
    <t>6.1.2 Analyse comparative</t>
  </si>
  <si>
    <t>6.2.1 Maquettage</t>
  </si>
  <si>
    <t>6.2.2 Charte graphique</t>
  </si>
  <si>
    <t>6.2.3 Diagramme de classe</t>
  </si>
  <si>
    <t>6.2.4 Diagramme d'activité</t>
  </si>
  <si>
    <t>6.2.5 Créer et implanter des données de tests</t>
  </si>
  <si>
    <t>6.3.1 Interface</t>
  </si>
  <si>
    <t>6.3.2 Données</t>
  </si>
  <si>
    <t>6.3.3 Action</t>
  </si>
  <si>
    <t>6.3.1.1 Recherche</t>
  </si>
  <si>
    <t>6.3.1.1 Affichage</t>
  </si>
  <si>
    <t>6.3.2.1 Prestations</t>
  </si>
  <si>
    <t>6.3.2.2 Factures</t>
  </si>
  <si>
    <t>6.3.2.3 Réservations</t>
  </si>
  <si>
    <t>6.3.3.1 Affichage</t>
  </si>
  <si>
    <t>6.3.3.2 Enregistrement</t>
  </si>
  <si>
    <t>6.3.3.3 Recherche</t>
  </si>
  <si>
    <t>6.4.1 Tests unitaire</t>
  </si>
  <si>
    <t>6.4.2 Tests d'acceptation</t>
  </si>
  <si>
    <t>6.4.3 Tests d'ergonomie</t>
  </si>
  <si>
    <t>6.4.4 Rapport de bug</t>
  </si>
  <si>
    <t>P</t>
  </si>
  <si>
    <t>M</t>
  </si>
  <si>
    <r>
      <t>Coût</t>
    </r>
    <r>
      <rPr>
        <sz val="12"/>
        <color theme="1"/>
        <rFont val="Calibri"/>
        <family val="2"/>
        <scheme val="minor"/>
      </rPr>
      <t xml:space="preserve"> (en €)</t>
    </r>
  </si>
  <si>
    <t>Estimation des charges :</t>
  </si>
  <si>
    <t>Total = 4550</t>
  </si>
  <si>
    <t>6.1.1 Évaluation des besoins via la SEL</t>
  </si>
  <si>
    <t>Estimation (en h/h)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</si>
</sst>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11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31C9CF-BD24-4B41-BA8D-19021EF9A20E}" name="Tableau15" displayName="Tableau15" ref="B4:J31" totalsRowShown="0" headerRowDxfId="10" dataDxfId="9">
  <autoFilter ref="B4:J31" xr:uid="{4B31C9CF-BD24-4B41-BA8D-19021EF9A20E}"/>
  <tableColumns count="9">
    <tableColumn id="1" xr3:uid="{8583928C-5BAF-4063-959B-296CC116285A}" name="Lot" dataDxfId="8"/>
    <tableColumn id="2" xr3:uid="{D45899CA-10A9-43BD-8D26-4843C5B4B460}" name="Sous-Lot" dataDxfId="7"/>
    <tableColumn id="3" xr3:uid="{D0D40C79-BEB4-4FC6-951A-E9C2800F3E88}" name="Sous-Lot2" dataDxfId="6"/>
    <tableColumn id="4" xr3:uid="{F562246A-29A8-4146-A2F6-A15E9F93A62D}" name="Sous-Lot3" dataDxfId="5"/>
    <tableColumn id="7" xr3:uid="{932332FA-4BE6-4FD5-A8D0-3437EAF9AC01}" name="A" dataDxfId="4"/>
    <tableColumn id="8" xr3:uid="{3D1DB872-6B13-43F2-A7ED-7F94C219DC56}" name="M" dataDxfId="3"/>
    <tableColumn id="9" xr3:uid="{50E45D22-BAB6-4663-90EE-E070AC0E1E08}" name="P" dataDxfId="2"/>
    <tableColumn id="11" xr3:uid="{F4AD18B9-709D-41FA-A098-2F264A95F7CB}" name="Estimation (en h/h)" dataDxfId="1">
      <calculatedColumnFormula>(Tableau15[[#This Row],[A]]+4*Tableau15[[#This Row],[M]]+Tableau15[[#This Row],[P]])/6</calculatedColumnFormula>
    </tableColumn>
    <tableColumn id="10" xr3:uid="{B9A2EE5C-E2AF-4EAA-A73B-7C00702D2575}" name="Coût (en €)" dataDxfId="0">
      <calculatedColumnFormula>Tableau15[[#This Row],[Estimation (en h/h)]]*60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2D9D3-60E9-7B40-B7DF-444D148138C6}">
  <dimension ref="B2:J31"/>
  <sheetViews>
    <sheetView tabSelected="1" zoomScale="80" zoomScaleNormal="80" workbookViewId="0">
      <selection activeCell="I4" sqref="I4"/>
    </sheetView>
  </sheetViews>
  <sheetFormatPr baseColWidth="10" defaultColWidth="10.83203125" defaultRowHeight="15.5" x14ac:dyDescent="0.35"/>
  <cols>
    <col min="1" max="2" width="10.83203125" style="2"/>
    <col min="3" max="3" width="17.9140625" style="2" customWidth="1"/>
    <col min="4" max="4" width="41.25" style="2" customWidth="1"/>
    <col min="5" max="5" width="20.4140625" style="2" customWidth="1"/>
    <col min="6" max="6" width="10.83203125" style="2"/>
    <col min="7" max="8" width="10.83203125" style="3"/>
    <col min="9" max="9" width="21.9140625" style="2" customWidth="1"/>
    <col min="10" max="10" width="16.6640625" style="2" customWidth="1"/>
    <col min="11" max="16384" width="10.83203125" style="2"/>
  </cols>
  <sheetData>
    <row r="2" spans="2:10" ht="28.5" x14ac:dyDescent="0.35">
      <c r="B2" s="1" t="s">
        <v>33</v>
      </c>
      <c r="D2" s="3"/>
      <c r="E2" s="3"/>
      <c r="F2" s="3"/>
    </row>
    <row r="3" spans="2:10" x14ac:dyDescent="0.35">
      <c r="D3" s="3"/>
      <c r="E3" s="3"/>
      <c r="F3" s="3"/>
    </row>
    <row r="4" spans="2:10" x14ac:dyDescent="0.35">
      <c r="B4" s="2" t="s">
        <v>0</v>
      </c>
      <c r="C4" s="2" t="s">
        <v>1</v>
      </c>
      <c r="D4" s="3" t="s">
        <v>3</v>
      </c>
      <c r="E4" s="3" t="s">
        <v>4</v>
      </c>
      <c r="F4" s="3" t="s">
        <v>2</v>
      </c>
      <c r="G4" s="3" t="s">
        <v>31</v>
      </c>
      <c r="H4" s="3" t="s">
        <v>30</v>
      </c>
      <c r="I4" s="3" t="s">
        <v>36</v>
      </c>
      <c r="J4" s="3" t="s">
        <v>32</v>
      </c>
    </row>
    <row r="5" spans="2:10" x14ac:dyDescent="0.35">
      <c r="B5" s="4"/>
      <c r="C5" s="4"/>
      <c r="D5" s="4"/>
      <c r="E5" s="4"/>
      <c r="F5" s="3"/>
      <c r="I5" s="3"/>
      <c r="J5" s="3"/>
    </row>
    <row r="6" spans="2:10" x14ac:dyDescent="0.35">
      <c r="B6" s="4">
        <v>6</v>
      </c>
      <c r="C6" s="4" t="s">
        <v>8</v>
      </c>
      <c r="D6" s="4" t="s">
        <v>35</v>
      </c>
      <c r="E6" s="4"/>
      <c r="F6" s="3">
        <v>4</v>
      </c>
      <c r="G6" s="3">
        <v>6</v>
      </c>
      <c r="H6" s="3">
        <v>8</v>
      </c>
      <c r="I6" s="3">
        <f>(Tableau15[[#This Row],[A]]+4*Tableau15[[#This Row],[M]]+Tableau15[[#This Row],[P]])/6</f>
        <v>6</v>
      </c>
      <c r="J6" s="3">
        <v>360</v>
      </c>
    </row>
    <row r="7" spans="2:10" x14ac:dyDescent="0.35">
      <c r="B7" s="4"/>
      <c r="C7" s="4"/>
      <c r="D7" s="4" t="s">
        <v>9</v>
      </c>
      <c r="E7" s="4"/>
      <c r="F7" s="3">
        <v>2</v>
      </c>
      <c r="G7" s="3">
        <v>4</v>
      </c>
      <c r="H7" s="3">
        <v>6</v>
      </c>
      <c r="I7" s="3">
        <f>(Tableau15[[#This Row],[A]]+4*Tableau15[[#This Row],[M]]+Tableau15[[#This Row],[P]])/6</f>
        <v>4</v>
      </c>
      <c r="J7" s="3">
        <f>Tableau15[[#This Row],[Estimation (en h/h)]]*60</f>
        <v>240</v>
      </c>
    </row>
    <row r="8" spans="2:10" x14ac:dyDescent="0.35">
      <c r="B8" s="4"/>
      <c r="C8" s="4"/>
      <c r="D8" s="4"/>
      <c r="E8" s="4"/>
      <c r="F8" s="3"/>
      <c r="I8" s="3"/>
      <c r="J8" s="3"/>
    </row>
    <row r="9" spans="2:10" x14ac:dyDescent="0.35">
      <c r="B9" s="4"/>
      <c r="C9" s="4" t="s">
        <v>5</v>
      </c>
      <c r="D9" s="4" t="s">
        <v>10</v>
      </c>
      <c r="E9" s="4"/>
      <c r="F9" s="3">
        <v>3</v>
      </c>
      <c r="G9" s="3">
        <v>5</v>
      </c>
      <c r="H9" s="3">
        <v>7</v>
      </c>
      <c r="I9" s="3">
        <f>(Tableau15[[#This Row],[A]]+4*Tableau15[[#This Row],[M]]+Tableau15[[#This Row],[P]])/6</f>
        <v>5</v>
      </c>
      <c r="J9" s="3">
        <f>Tableau15[[#This Row],[Estimation (en h/h)]]*60</f>
        <v>300</v>
      </c>
    </row>
    <row r="10" spans="2:10" x14ac:dyDescent="0.35">
      <c r="B10" s="4"/>
      <c r="C10" s="4"/>
      <c r="D10" s="4" t="s">
        <v>11</v>
      </c>
      <c r="E10" s="4"/>
      <c r="F10" s="3">
        <v>2</v>
      </c>
      <c r="G10" s="3">
        <v>4</v>
      </c>
      <c r="H10" s="3">
        <v>7</v>
      </c>
      <c r="I10" s="3">
        <f>(Tableau15[[#This Row],[A]]+4*Tableau15[[#This Row],[M]]+Tableau15[[#This Row],[P]])/6</f>
        <v>4.166666666666667</v>
      </c>
      <c r="J10" s="3">
        <f>Tableau15[[#This Row],[Estimation (en h/h)]]*60</f>
        <v>250.00000000000003</v>
      </c>
    </row>
    <row r="11" spans="2:10" x14ac:dyDescent="0.35">
      <c r="B11" s="4"/>
      <c r="C11" s="4"/>
      <c r="D11" s="4" t="s">
        <v>12</v>
      </c>
      <c r="E11" s="4"/>
      <c r="F11" s="3">
        <v>2</v>
      </c>
      <c r="G11" s="3">
        <v>3</v>
      </c>
      <c r="H11" s="3">
        <v>5</v>
      </c>
      <c r="I11" s="3">
        <f>(Tableau15[[#This Row],[A]]+4*Tableau15[[#This Row],[M]]+Tableau15[[#This Row],[P]])/6</f>
        <v>3.1666666666666665</v>
      </c>
      <c r="J11" s="3">
        <f>Tableau15[[#This Row],[Estimation (en h/h)]]*60</f>
        <v>190</v>
      </c>
    </row>
    <row r="12" spans="2:10" x14ac:dyDescent="0.35">
      <c r="B12" s="4"/>
      <c r="C12" s="4"/>
      <c r="D12" s="4" t="s">
        <v>13</v>
      </c>
      <c r="E12" s="4"/>
      <c r="F12" s="3">
        <v>2</v>
      </c>
      <c r="G12" s="3">
        <v>3</v>
      </c>
      <c r="H12" s="3">
        <v>5</v>
      </c>
      <c r="I12" s="3">
        <f>(Tableau15[[#This Row],[A]]+4*Tableau15[[#This Row],[M]]+Tableau15[[#This Row],[P]])/6</f>
        <v>3.1666666666666665</v>
      </c>
      <c r="J12" s="3">
        <f>Tableau15[[#This Row],[Estimation (en h/h)]]*60</f>
        <v>190</v>
      </c>
    </row>
    <row r="13" spans="2:10" x14ac:dyDescent="0.35">
      <c r="B13" s="4"/>
      <c r="C13" s="4"/>
      <c r="D13" s="4" t="s">
        <v>14</v>
      </c>
      <c r="E13" s="4"/>
      <c r="F13" s="3">
        <v>3</v>
      </c>
      <c r="G13" s="3">
        <v>5</v>
      </c>
      <c r="H13" s="3">
        <v>8</v>
      </c>
      <c r="I13" s="3">
        <f>(Tableau15[[#This Row],[A]]+4*Tableau15[[#This Row],[M]]+Tableau15[[#This Row],[P]])/6</f>
        <v>5.166666666666667</v>
      </c>
      <c r="J13" s="3">
        <f>Tableau15[[#This Row],[Estimation (en h/h)]]*60</f>
        <v>310</v>
      </c>
    </row>
    <row r="14" spans="2:10" x14ac:dyDescent="0.35">
      <c r="B14" s="4"/>
      <c r="C14" s="4"/>
      <c r="D14" s="4"/>
      <c r="E14" s="4"/>
      <c r="F14" s="3"/>
      <c r="I14" s="3"/>
      <c r="J14" s="3"/>
    </row>
    <row r="15" spans="2:10" x14ac:dyDescent="0.35">
      <c r="B15" s="4"/>
      <c r="C15" s="4" t="s">
        <v>6</v>
      </c>
      <c r="D15" s="4" t="s">
        <v>15</v>
      </c>
      <c r="E15" s="4" t="s">
        <v>18</v>
      </c>
      <c r="F15" s="3">
        <v>3</v>
      </c>
      <c r="G15" s="3">
        <v>4</v>
      </c>
      <c r="H15" s="3">
        <v>7</v>
      </c>
      <c r="I15" s="3">
        <f>(Tableau15[[#This Row],[A]]+4*Tableau15[[#This Row],[M]]+Tableau15[[#This Row],[P]])/6</f>
        <v>4.333333333333333</v>
      </c>
      <c r="J15" s="3">
        <f>Tableau15[[#This Row],[Estimation (en h/h)]]*60</f>
        <v>260</v>
      </c>
    </row>
    <row r="16" spans="2:10" x14ac:dyDescent="0.35">
      <c r="B16" s="4"/>
      <c r="C16" s="4"/>
      <c r="D16" s="4"/>
      <c r="E16" s="4" t="s">
        <v>19</v>
      </c>
      <c r="F16" s="3">
        <v>3</v>
      </c>
      <c r="G16" s="3">
        <v>4</v>
      </c>
      <c r="H16" s="3">
        <v>7</v>
      </c>
      <c r="I16" s="3">
        <f>(Tableau15[[#This Row],[A]]+4*Tableau15[[#This Row],[M]]+Tableau15[[#This Row],[P]])/6</f>
        <v>4.333333333333333</v>
      </c>
      <c r="J16" s="3">
        <f>Tableau15[[#This Row],[Estimation (en h/h)]]*60</f>
        <v>260</v>
      </c>
    </row>
    <row r="17" spans="2:10" x14ac:dyDescent="0.35">
      <c r="B17" s="4"/>
      <c r="C17" s="4"/>
      <c r="D17" s="4"/>
      <c r="E17" s="4"/>
      <c r="F17" s="3"/>
      <c r="I17" s="3"/>
      <c r="J17" s="3"/>
    </row>
    <row r="18" spans="2:10" x14ac:dyDescent="0.35">
      <c r="B18" s="4"/>
      <c r="C18" s="4"/>
      <c r="D18" s="4" t="s">
        <v>16</v>
      </c>
      <c r="E18" s="4" t="s">
        <v>20</v>
      </c>
      <c r="F18" s="3">
        <v>3</v>
      </c>
      <c r="G18" s="3">
        <v>5</v>
      </c>
      <c r="H18" s="3">
        <v>7</v>
      </c>
      <c r="I18" s="3">
        <f>(Tableau15[[#This Row],[A]]+4*Tableau15[[#This Row],[M]]+Tableau15[[#This Row],[P]])/6</f>
        <v>5</v>
      </c>
      <c r="J18" s="3">
        <f>Tableau15[[#This Row],[Estimation (en h/h)]]*60</f>
        <v>300</v>
      </c>
    </row>
    <row r="19" spans="2:10" x14ac:dyDescent="0.35">
      <c r="B19" s="4"/>
      <c r="C19" s="4"/>
      <c r="D19" s="4"/>
      <c r="E19" s="4" t="s">
        <v>21</v>
      </c>
      <c r="F19" s="3">
        <v>3</v>
      </c>
      <c r="G19" s="3">
        <v>5</v>
      </c>
      <c r="H19" s="3">
        <v>7</v>
      </c>
      <c r="I19" s="3">
        <f>(Tableau15[[#This Row],[A]]+4*Tableau15[[#This Row],[M]]+Tableau15[[#This Row],[P]])/6</f>
        <v>5</v>
      </c>
      <c r="J19" s="3">
        <f>Tableau15[[#This Row],[Estimation (en h/h)]]*60</f>
        <v>300</v>
      </c>
    </row>
    <row r="20" spans="2:10" x14ac:dyDescent="0.35">
      <c r="B20" s="4"/>
      <c r="C20" s="4"/>
      <c r="D20" s="4"/>
      <c r="E20" s="4" t="s">
        <v>22</v>
      </c>
      <c r="F20" s="3">
        <v>3</v>
      </c>
      <c r="G20" s="3">
        <v>5</v>
      </c>
      <c r="H20" s="3">
        <v>7</v>
      </c>
      <c r="I20" s="3">
        <f>(Tableau15[[#This Row],[A]]+4*Tableau15[[#This Row],[M]]+Tableau15[[#This Row],[P]])/6</f>
        <v>5</v>
      </c>
      <c r="J20" s="3">
        <f>Tableau15[[#This Row],[Estimation (en h/h)]]*60</f>
        <v>300</v>
      </c>
    </row>
    <row r="21" spans="2:10" x14ac:dyDescent="0.35">
      <c r="B21" s="4"/>
      <c r="C21" s="4"/>
      <c r="D21" s="4"/>
      <c r="E21" s="4"/>
      <c r="F21" s="3"/>
      <c r="I21" s="3"/>
      <c r="J21" s="3"/>
    </row>
    <row r="22" spans="2:10" x14ac:dyDescent="0.35">
      <c r="B22" s="4"/>
      <c r="C22" s="4"/>
      <c r="D22" s="4" t="s">
        <v>17</v>
      </c>
      <c r="E22" s="4" t="s">
        <v>23</v>
      </c>
      <c r="F22" s="3">
        <v>3</v>
      </c>
      <c r="G22" s="3">
        <v>4</v>
      </c>
      <c r="H22" s="3">
        <v>6</v>
      </c>
      <c r="I22" s="3">
        <f>(Tableau15[[#This Row],[A]]+4*Tableau15[[#This Row],[M]]+Tableau15[[#This Row],[P]])/6</f>
        <v>4.166666666666667</v>
      </c>
      <c r="J22" s="3">
        <f>Tableau15[[#This Row],[Estimation (en h/h)]]*60</f>
        <v>250.00000000000003</v>
      </c>
    </row>
    <row r="23" spans="2:10" x14ac:dyDescent="0.35">
      <c r="B23" s="4"/>
      <c r="C23" s="4"/>
      <c r="D23" s="4"/>
      <c r="E23" s="4" t="s">
        <v>24</v>
      </c>
      <c r="F23" s="3">
        <v>3</v>
      </c>
      <c r="G23" s="3">
        <v>4</v>
      </c>
      <c r="H23" s="3">
        <v>6</v>
      </c>
      <c r="I23" s="3">
        <f>(Tableau15[[#This Row],[A]]+4*Tableau15[[#This Row],[M]]+Tableau15[[#This Row],[P]])/6</f>
        <v>4.166666666666667</v>
      </c>
      <c r="J23" s="3">
        <f>Tableau15[[#This Row],[Estimation (en h/h)]]*60</f>
        <v>250.00000000000003</v>
      </c>
    </row>
    <row r="24" spans="2:10" x14ac:dyDescent="0.35">
      <c r="B24" s="4"/>
      <c r="C24" s="4"/>
      <c r="D24" s="4"/>
      <c r="E24" s="4" t="s">
        <v>25</v>
      </c>
      <c r="F24" s="3">
        <v>3</v>
      </c>
      <c r="G24" s="3">
        <v>4</v>
      </c>
      <c r="H24" s="3">
        <v>6</v>
      </c>
      <c r="I24" s="3">
        <f>(Tableau15[[#This Row],[A]]+4*Tableau15[[#This Row],[M]]+Tableau15[[#This Row],[P]])/6</f>
        <v>4.166666666666667</v>
      </c>
      <c r="J24" s="3">
        <f>Tableau15[[#This Row],[Estimation (en h/h)]]*60</f>
        <v>250.00000000000003</v>
      </c>
    </row>
    <row r="25" spans="2:10" x14ac:dyDescent="0.35">
      <c r="B25" s="4"/>
      <c r="C25" s="4"/>
      <c r="D25" s="4"/>
      <c r="E25" s="4"/>
      <c r="F25" s="3"/>
      <c r="I25" s="3"/>
      <c r="J25" s="3"/>
    </row>
    <row r="26" spans="2:10" x14ac:dyDescent="0.35">
      <c r="B26" s="4"/>
      <c r="C26" s="4" t="s">
        <v>7</v>
      </c>
      <c r="D26" s="4" t="s">
        <v>26</v>
      </c>
      <c r="E26" s="4"/>
      <c r="F26" s="3">
        <v>1</v>
      </c>
      <c r="G26" s="3">
        <v>2</v>
      </c>
      <c r="H26" s="3">
        <v>3</v>
      </c>
      <c r="I26" s="3">
        <f>(Tableau15[[#This Row],[A]]+4*Tableau15[[#This Row],[M]]+Tableau15[[#This Row],[P]])/6</f>
        <v>2</v>
      </c>
      <c r="J26" s="3">
        <f>Tableau15[[#This Row],[Estimation (en h/h)]]*60</f>
        <v>120</v>
      </c>
    </row>
    <row r="27" spans="2:10" x14ac:dyDescent="0.35">
      <c r="B27" s="4"/>
      <c r="C27" s="4"/>
      <c r="D27" s="4" t="s">
        <v>27</v>
      </c>
      <c r="E27" s="4"/>
      <c r="F27" s="3">
        <v>1</v>
      </c>
      <c r="G27" s="3">
        <v>2</v>
      </c>
      <c r="H27" s="3">
        <v>3</v>
      </c>
      <c r="I27" s="3">
        <f>(Tableau15[[#This Row],[A]]+4*Tableau15[[#This Row],[M]]+Tableau15[[#This Row],[P]])/6</f>
        <v>2</v>
      </c>
      <c r="J27" s="3">
        <f>Tableau15[[#This Row],[Estimation (en h/h)]]*60</f>
        <v>120</v>
      </c>
    </row>
    <row r="28" spans="2:10" x14ac:dyDescent="0.35">
      <c r="B28" s="4"/>
      <c r="C28" s="4"/>
      <c r="D28" s="4" t="s">
        <v>28</v>
      </c>
      <c r="E28" s="4"/>
      <c r="F28" s="3">
        <v>1</v>
      </c>
      <c r="G28" s="3">
        <v>2</v>
      </c>
      <c r="H28" s="3">
        <v>3</v>
      </c>
      <c r="I28" s="3">
        <f>(Tableau15[[#This Row],[A]]+4*Tableau15[[#This Row],[M]]+Tableau15[[#This Row],[P]])/6</f>
        <v>2</v>
      </c>
      <c r="J28" s="3">
        <f>Tableau15[[#This Row],[Estimation (en h/h)]]*60</f>
        <v>120</v>
      </c>
    </row>
    <row r="29" spans="2:10" x14ac:dyDescent="0.35">
      <c r="B29" s="4"/>
      <c r="C29" s="4"/>
      <c r="D29" s="4" t="s">
        <v>29</v>
      </c>
      <c r="E29" s="4"/>
      <c r="F29" s="3">
        <v>2</v>
      </c>
      <c r="G29" s="3">
        <v>3</v>
      </c>
      <c r="H29" s="3">
        <v>4</v>
      </c>
      <c r="I29" s="3">
        <f>(Tableau15[[#This Row],[A]]+4*Tableau15[[#This Row],[M]]+Tableau15[[#This Row],[P]])/6</f>
        <v>3</v>
      </c>
      <c r="J29" s="3">
        <f>Tableau15[[#This Row],[Estimation (en h/h)]]*60</f>
        <v>180</v>
      </c>
    </row>
    <row r="30" spans="2:10" x14ac:dyDescent="0.35">
      <c r="B30" s="4"/>
      <c r="C30" s="4"/>
      <c r="D30" s="4"/>
      <c r="E30" s="4"/>
      <c r="F30" s="4"/>
      <c r="G30" s="4"/>
      <c r="H30" s="4"/>
      <c r="I30" s="4"/>
      <c r="J30" s="4"/>
    </row>
    <row r="31" spans="2:10" x14ac:dyDescent="0.35">
      <c r="B31" s="4"/>
      <c r="C31" s="4"/>
      <c r="D31" s="4"/>
      <c r="E31" s="4"/>
      <c r="F31" s="4"/>
      <c r="G31" s="4"/>
      <c r="H31" s="4"/>
      <c r="I31" s="5"/>
      <c r="J31" s="3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Julien Perriguey</cp:lastModifiedBy>
  <dcterms:created xsi:type="dcterms:W3CDTF">2023-05-01T21:11:23Z</dcterms:created>
  <dcterms:modified xsi:type="dcterms:W3CDTF">2023-06-12T07:04:37Z</dcterms:modified>
</cp:coreProperties>
</file>